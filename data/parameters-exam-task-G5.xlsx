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\Documents\2026 HSRW\SS26_Simulation\moodle content\Examination task\finaler Task\"/>
    </mc:Choice>
  </mc:AlternateContent>
  <xr:revisionPtr revIDLastSave="0" documentId="13_ncr:1_{B3264683-68E8-41BD-8D93-37E4498B78AA}" xr6:coauthVersionLast="36" xr6:coauthVersionMax="47" xr10:uidLastSave="{00000000-0000-0000-0000-000000000000}"/>
  <bookViews>
    <workbookView xWindow="0" yWindow="0" windowWidth="25600" windowHeight="12010" xr2:uid="{F056ABCA-35B6-41EF-9BD1-74D17A4950A5}"/>
  </bookViews>
  <sheets>
    <sheet name="Simulation Target" sheetId="6" r:id="rId1"/>
    <sheet name="ProductionProgram" sheetId="1" r:id="rId2"/>
    <sheet name="Technical Data Stations" sheetId="2" r:id="rId3"/>
    <sheet name="Technical Data Buffer" sheetId="5" r:id="rId4"/>
    <sheet name="Rework" sheetId="4" r:id="rId5"/>
    <sheet name="ShiftModel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E4" i="4"/>
  <c r="E2" i="4"/>
  <c r="B6" i="1"/>
</calcChain>
</file>

<file path=xl/sharedStrings.xml><?xml version="1.0" encoding="utf-8"?>
<sst xmlns="http://schemas.openxmlformats.org/spreadsheetml/2006/main" count="103" uniqueCount="61">
  <si>
    <t>Product</t>
  </si>
  <si>
    <t>Sum</t>
  </si>
  <si>
    <t>Ratio</t>
  </si>
  <si>
    <t>Takttime</t>
  </si>
  <si>
    <t>Station</t>
  </si>
  <si>
    <t>Takt Time</t>
  </si>
  <si>
    <t>Break Down</t>
  </si>
  <si>
    <t>Required Production Capacity</t>
  </si>
  <si>
    <t>Capacity</t>
  </si>
  <si>
    <t>10s each place</t>
  </si>
  <si>
    <t>red</t>
  </si>
  <si>
    <t>white</t>
  </si>
  <si>
    <t>black</t>
  </si>
  <si>
    <t>TC_Entry</t>
  </si>
  <si>
    <t>[s]</t>
  </si>
  <si>
    <t>Avail [%]</t>
  </si>
  <si>
    <t>MTTR [s]</t>
  </si>
  <si>
    <t>?</t>
  </si>
  <si>
    <t>Bu_1</t>
  </si>
  <si>
    <t>Repair_Bu</t>
  </si>
  <si>
    <t>SR</t>
  </si>
  <si>
    <t>MR</t>
  </si>
  <si>
    <t>ReRun</t>
  </si>
  <si>
    <t>Color</t>
  </si>
  <si>
    <t>TC Line</t>
  </si>
  <si>
    <t>TC Oven</t>
  </si>
  <si>
    <t>CC/HRK</t>
  </si>
  <si>
    <t>Stations with Shift Model</t>
  </si>
  <si>
    <t>TC Entry</t>
  </si>
  <si>
    <t>Shift Model</t>
  </si>
  <si>
    <t>Shift 1</t>
  </si>
  <si>
    <t>Shift 2</t>
  </si>
  <si>
    <t xml:space="preserve">From </t>
  </si>
  <si>
    <t>To</t>
  </si>
  <si>
    <t>Mo</t>
  </si>
  <si>
    <t>Tu</t>
  </si>
  <si>
    <t>We</t>
  </si>
  <si>
    <t>Th</t>
  </si>
  <si>
    <t>Fr</t>
  </si>
  <si>
    <t>Sa</t>
  </si>
  <si>
    <t>Su</t>
  </si>
  <si>
    <t>Pauses</t>
  </si>
  <si>
    <t>x</t>
  </si>
  <si>
    <t xml:space="preserve">9:00-9:15 </t>
  </si>
  <si>
    <t>12:00-12:30</t>
  </si>
  <si>
    <t>18:10-18:40</t>
  </si>
  <si>
    <t>20:30-20:45</t>
  </si>
  <si>
    <t>OK</t>
  </si>
  <si>
    <t>Bu_2</t>
  </si>
  <si>
    <t>Bu_3</t>
  </si>
  <si>
    <t>Bu_4</t>
  </si>
  <si>
    <t>Bu_5</t>
  </si>
  <si>
    <t>Bu_6</t>
  </si>
  <si>
    <t>Bu_7</t>
  </si>
  <si>
    <t>Bu_8</t>
  </si>
  <si>
    <t>Bu_9</t>
  </si>
  <si>
    <t>Bu_10</t>
  </si>
  <si>
    <t>Bu_11</t>
  </si>
  <si>
    <t>Bu_12</t>
  </si>
  <si>
    <t>Q-Station</t>
  </si>
  <si>
    <t>53 uph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</si>
</sst>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%"/>
    <numFmt numFmtId="166" formatCode="#,##0.00_ ;\-#,##0.00\ "/>
    <numFmt numFmtId="167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1" xfId="0" applyNumberFormat="1" applyBorder="1"/>
    <xf numFmtId="9" fontId="0" fillId="0" borderId="1" xfId="1" applyFont="1" applyBorder="1"/>
    <xf numFmtId="0" fontId="0" fillId="0" borderId="0" xfId="0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0" xfId="1" applyFont="1"/>
    <xf numFmtId="165" fontId="0" fillId="0" borderId="1" xfId="0" applyNumberFormat="1" applyBorder="1" applyAlignment="1">
      <alignment horizontal="center"/>
    </xf>
    <xf numFmtId="20" fontId="0" fillId="0" borderId="1" xfId="0" applyNumberFormat="1" applyBorder="1"/>
    <xf numFmtId="166" fontId="0" fillId="0" borderId="0" xfId="2" applyNumberFormat="1" applyFont="1" applyAlignment="1"/>
    <xf numFmtId="167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3">
    <cellStyle name="Komma" xfId="2" builtinId="3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CC7F-0DCA-49DA-B21F-41A4807E039A}">
  <dimension ref="A1:B3"/>
  <sheetViews>
    <sheetView tabSelected="1" workbookViewId="0">
      <selection activeCell="F12" sqref="F12"/>
    </sheetView>
  </sheetViews>
  <sheetFormatPr baseColWidth="10" defaultRowHeight="14.5" x14ac:dyDescent="0.35"/>
  <cols>
    <col min="1" max="1" width="27.54296875" bestFit="1" customWidth="1"/>
  </cols>
  <sheetData>
    <row r="1" spans="1:2" x14ac:dyDescent="0.35">
      <c r="A1" s="1" t="s">
        <v>7</v>
      </c>
      <c r="B1" s="1"/>
    </row>
    <row r="3" spans="1:2" x14ac:dyDescent="0.35">
      <c r="A3" t="s">
        <v>60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E59B-CE36-463A-A547-DBF24CDA2B0A}">
  <dimension ref="A1:B6"/>
  <sheetViews>
    <sheetView workbookViewId="0">
      <selection activeCell="C4" sqref="C4"/>
    </sheetView>
  </sheetViews>
  <sheetFormatPr baseColWidth="10" defaultRowHeight="14.5" x14ac:dyDescent="0.35"/>
  <cols>
    <col min="1" max="1" width="14" style="1" customWidth="1"/>
    <col min="5" max="5" width="26.54296875" bestFit="1" customWidth="1"/>
  </cols>
  <sheetData>
    <row r="1" spans="1:2" s="1" customFormat="1" x14ac:dyDescent="0.35">
      <c r="A1" s="2" t="s">
        <v>0</v>
      </c>
      <c r="B1" s="2" t="s">
        <v>2</v>
      </c>
    </row>
    <row r="2" spans="1:2" x14ac:dyDescent="0.35">
      <c r="A2" s="2" t="s">
        <v>10</v>
      </c>
      <c r="B2" s="7">
        <v>0.15</v>
      </c>
    </row>
    <row r="3" spans="1:2" x14ac:dyDescent="0.35">
      <c r="A3" s="2" t="s">
        <v>11</v>
      </c>
      <c r="B3" s="7">
        <v>0.6</v>
      </c>
    </row>
    <row r="4" spans="1:2" x14ac:dyDescent="0.35">
      <c r="A4" s="2" t="s">
        <v>12</v>
      </c>
      <c r="B4" s="7">
        <v>0.25</v>
      </c>
    </row>
    <row r="5" spans="1:2" x14ac:dyDescent="0.35">
      <c r="A5" s="2"/>
      <c r="B5" s="3"/>
    </row>
    <row r="6" spans="1:2" x14ac:dyDescent="0.35">
      <c r="A6" s="2" t="s">
        <v>1</v>
      </c>
      <c r="B6" s="8">
        <f>SUM(B2:B5)</f>
        <v>1</v>
      </c>
    </row>
  </sheetData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1131-ED51-484D-990F-C19491507285}">
  <sheetPr>
    <pageSetUpPr fitToPage="1"/>
  </sheetPr>
  <dimension ref="A1:N12"/>
  <sheetViews>
    <sheetView zoomScale="110" zoomScaleNormal="110" workbookViewId="0">
      <selection activeCell="J25" sqref="J25"/>
    </sheetView>
  </sheetViews>
  <sheetFormatPr baseColWidth="10" defaultRowHeight="14.5" x14ac:dyDescent="0.35"/>
  <cols>
    <col min="1" max="1" width="24.7265625" style="1" bestFit="1" customWidth="1"/>
    <col min="2" max="2" width="8.453125" style="1" bestFit="1" customWidth="1"/>
    <col min="3" max="3" width="17.26953125" customWidth="1"/>
    <col min="4" max="5" width="10.7265625" customWidth="1"/>
  </cols>
  <sheetData>
    <row r="1" spans="1:14" s="1" customFormat="1" x14ac:dyDescent="0.35">
      <c r="A1" s="2"/>
      <c r="B1" s="2"/>
      <c r="C1" s="2"/>
      <c r="D1" s="17"/>
      <c r="E1" s="17"/>
      <c r="I1"/>
      <c r="J1"/>
      <c r="K1"/>
      <c r="L1"/>
      <c r="M1"/>
      <c r="N1"/>
    </row>
    <row r="2" spans="1:14" s="1" customFormat="1" x14ac:dyDescent="0.35">
      <c r="A2" s="2" t="s">
        <v>4</v>
      </c>
      <c r="B2" s="2" t="s">
        <v>8</v>
      </c>
      <c r="C2" s="5" t="s">
        <v>5</v>
      </c>
      <c r="D2" s="17" t="s">
        <v>6</v>
      </c>
      <c r="E2" s="17"/>
      <c r="I2"/>
      <c r="J2"/>
      <c r="K2"/>
      <c r="L2"/>
      <c r="M2"/>
      <c r="N2"/>
    </row>
    <row r="3" spans="1:14" x14ac:dyDescent="0.35">
      <c r="A3" s="2"/>
      <c r="B3" s="2"/>
      <c r="C3" s="4" t="s">
        <v>14</v>
      </c>
      <c r="D3" s="4" t="s">
        <v>15</v>
      </c>
      <c r="E3" s="4" t="s">
        <v>16</v>
      </c>
    </row>
    <row r="4" spans="1:14" x14ac:dyDescent="0.35">
      <c r="A4" s="2"/>
      <c r="B4" s="2"/>
      <c r="C4" s="3"/>
      <c r="D4" s="3"/>
      <c r="E4" s="3"/>
    </row>
    <row r="5" spans="1:14" x14ac:dyDescent="0.35">
      <c r="A5" s="2" t="s">
        <v>13</v>
      </c>
      <c r="B5" s="3">
        <v>1</v>
      </c>
      <c r="C5" s="4">
        <v>62</v>
      </c>
      <c r="D5" s="12">
        <v>0.98499999999999999</v>
      </c>
      <c r="E5" s="4">
        <v>600</v>
      </c>
      <c r="F5" s="15"/>
      <c r="G5" s="16"/>
    </row>
    <row r="6" spans="1:14" x14ac:dyDescent="0.35">
      <c r="A6" s="2" t="s">
        <v>24</v>
      </c>
      <c r="B6" s="3">
        <v>8</v>
      </c>
      <c r="C6" s="4">
        <v>62.5</v>
      </c>
      <c r="D6" s="12">
        <v>0.99</v>
      </c>
      <c r="E6" s="4">
        <v>600</v>
      </c>
      <c r="F6" s="15"/>
    </row>
    <row r="7" spans="1:14" x14ac:dyDescent="0.35">
      <c r="A7" s="2" t="s">
        <v>25</v>
      </c>
      <c r="B7" s="3">
        <v>10</v>
      </c>
      <c r="C7" s="4">
        <v>62.5</v>
      </c>
      <c r="D7" s="12">
        <v>0.995</v>
      </c>
      <c r="E7" s="4">
        <v>1800</v>
      </c>
      <c r="F7" s="15"/>
    </row>
    <row r="8" spans="1:14" x14ac:dyDescent="0.35">
      <c r="A8" s="2" t="s">
        <v>59</v>
      </c>
      <c r="B8" s="3">
        <v>1</v>
      </c>
      <c r="C8" s="4">
        <v>62.5</v>
      </c>
      <c r="D8" s="12">
        <v>0.99</v>
      </c>
      <c r="E8" s="4">
        <v>600</v>
      </c>
      <c r="F8" s="15"/>
    </row>
    <row r="9" spans="1:14" x14ac:dyDescent="0.35">
      <c r="A9" s="2" t="s">
        <v>26</v>
      </c>
      <c r="B9" s="3">
        <v>1</v>
      </c>
      <c r="C9" s="4">
        <v>62.5</v>
      </c>
      <c r="D9" s="12">
        <v>0.98</v>
      </c>
      <c r="E9" s="4">
        <v>600</v>
      </c>
      <c r="F9" s="15"/>
    </row>
    <row r="10" spans="1:14" x14ac:dyDescent="0.35">
      <c r="A10" s="2" t="s">
        <v>20</v>
      </c>
      <c r="B10" s="3">
        <v>1</v>
      </c>
      <c r="C10" s="4" t="s">
        <v>17</v>
      </c>
      <c r="D10" s="12">
        <v>0.999</v>
      </c>
      <c r="E10" s="4">
        <v>600</v>
      </c>
      <c r="F10" s="15"/>
    </row>
    <row r="11" spans="1:14" x14ac:dyDescent="0.35">
      <c r="A11" s="2" t="s">
        <v>21</v>
      </c>
      <c r="B11" s="3">
        <v>1</v>
      </c>
      <c r="C11" s="4" t="s">
        <v>17</v>
      </c>
      <c r="D11" s="12">
        <v>0.999</v>
      </c>
      <c r="E11" s="4">
        <v>600</v>
      </c>
      <c r="F11" s="15"/>
    </row>
    <row r="12" spans="1:14" x14ac:dyDescent="0.35">
      <c r="A12" s="2" t="s">
        <v>22</v>
      </c>
      <c r="B12" s="3">
        <v>1</v>
      </c>
      <c r="C12" s="4" t="s">
        <v>17</v>
      </c>
      <c r="D12" s="12">
        <v>0.999</v>
      </c>
      <c r="E12" s="4">
        <v>600</v>
      </c>
      <c r="F12" s="15"/>
    </row>
  </sheetData>
  <mergeCells count="2">
    <mergeCell ref="D1:E1"/>
    <mergeCell ref="D2:E2"/>
  </mergeCells>
  <phoneticPr fontId="3" type="noConversion"/>
  <pageMargins left="0.7" right="0.7" top="0.78740157499999996" bottom="0.78740157499999996" header="0.3" footer="0.3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248-CCF6-4D2F-9E26-997471C363CE}">
  <sheetPr>
    <pageSetUpPr fitToPage="1"/>
  </sheetPr>
  <dimension ref="A1:C15"/>
  <sheetViews>
    <sheetView workbookViewId="0">
      <selection activeCell="G24" sqref="G24"/>
    </sheetView>
  </sheetViews>
  <sheetFormatPr baseColWidth="10" defaultRowHeight="14.5" x14ac:dyDescent="0.35"/>
  <cols>
    <col min="1" max="1" width="24.7265625" style="1" bestFit="1" customWidth="1"/>
    <col min="2" max="2" width="20.1796875" customWidth="1"/>
    <col min="3" max="3" width="14.54296875" style="9" customWidth="1"/>
  </cols>
  <sheetData>
    <row r="1" spans="1:3" s="1" customFormat="1" x14ac:dyDescent="0.35">
      <c r="A1" s="2"/>
      <c r="B1" s="5" t="s">
        <v>3</v>
      </c>
      <c r="C1" s="5" t="s">
        <v>8</v>
      </c>
    </row>
    <row r="2" spans="1:3" x14ac:dyDescent="0.35">
      <c r="A2" s="2"/>
      <c r="B2" s="3"/>
      <c r="C2" s="4"/>
    </row>
    <row r="3" spans="1:3" x14ac:dyDescent="0.35">
      <c r="A3" s="2" t="s">
        <v>19</v>
      </c>
      <c r="B3" s="4" t="s">
        <v>9</v>
      </c>
      <c r="C3" s="4" t="s">
        <v>17</v>
      </c>
    </row>
    <row r="4" spans="1:3" x14ac:dyDescent="0.35">
      <c r="A4" s="2" t="s">
        <v>18</v>
      </c>
      <c r="B4" s="4" t="s">
        <v>9</v>
      </c>
      <c r="C4" s="4" t="s">
        <v>17</v>
      </c>
    </row>
    <row r="5" spans="1:3" x14ac:dyDescent="0.35">
      <c r="A5" s="2" t="s">
        <v>48</v>
      </c>
      <c r="B5" s="4" t="s">
        <v>9</v>
      </c>
      <c r="C5" s="4" t="s">
        <v>17</v>
      </c>
    </row>
    <row r="6" spans="1:3" x14ac:dyDescent="0.35">
      <c r="A6" s="2" t="s">
        <v>49</v>
      </c>
      <c r="B6" s="4" t="s">
        <v>9</v>
      </c>
      <c r="C6" s="4" t="s">
        <v>17</v>
      </c>
    </row>
    <row r="7" spans="1:3" x14ac:dyDescent="0.35">
      <c r="A7" s="2" t="s">
        <v>50</v>
      </c>
      <c r="B7" s="4" t="s">
        <v>9</v>
      </c>
      <c r="C7" s="4" t="s">
        <v>17</v>
      </c>
    </row>
    <row r="8" spans="1:3" x14ac:dyDescent="0.35">
      <c r="A8" s="2" t="s">
        <v>51</v>
      </c>
      <c r="B8" s="4" t="s">
        <v>9</v>
      </c>
      <c r="C8" s="4" t="s">
        <v>17</v>
      </c>
    </row>
    <row r="9" spans="1:3" x14ac:dyDescent="0.35">
      <c r="A9" s="2" t="s">
        <v>52</v>
      </c>
      <c r="B9" s="4" t="s">
        <v>9</v>
      </c>
      <c r="C9" s="4">
        <v>1</v>
      </c>
    </row>
    <row r="10" spans="1:3" x14ac:dyDescent="0.35">
      <c r="A10" s="2" t="s">
        <v>53</v>
      </c>
      <c r="B10" s="4" t="s">
        <v>9</v>
      </c>
      <c r="C10" s="4">
        <v>1</v>
      </c>
    </row>
    <row r="11" spans="1:3" x14ac:dyDescent="0.35">
      <c r="A11" s="2" t="s">
        <v>54</v>
      </c>
      <c r="B11" s="4" t="s">
        <v>9</v>
      </c>
      <c r="C11" s="4">
        <v>1</v>
      </c>
    </row>
    <row r="12" spans="1:3" x14ac:dyDescent="0.35">
      <c r="A12" s="2" t="s">
        <v>55</v>
      </c>
      <c r="B12" s="4" t="s">
        <v>9</v>
      </c>
      <c r="C12" s="4">
        <v>1</v>
      </c>
    </row>
    <row r="13" spans="1:3" x14ac:dyDescent="0.35">
      <c r="A13" s="2" t="s">
        <v>56</v>
      </c>
      <c r="B13" s="4" t="s">
        <v>9</v>
      </c>
      <c r="C13" s="4">
        <v>1</v>
      </c>
    </row>
    <row r="14" spans="1:3" x14ac:dyDescent="0.35">
      <c r="A14" s="2" t="s">
        <v>57</v>
      </c>
      <c r="B14" s="4" t="s">
        <v>9</v>
      </c>
      <c r="C14" s="4">
        <v>1</v>
      </c>
    </row>
    <row r="15" spans="1:3" x14ac:dyDescent="0.35">
      <c r="A15" s="2" t="s">
        <v>58</v>
      </c>
      <c r="B15" s="4" t="s">
        <v>9</v>
      </c>
      <c r="C15" s="4" t="s">
        <v>17</v>
      </c>
    </row>
  </sheetData>
  <phoneticPr fontId="3" type="noConversion"/>
  <pageMargins left="0.7" right="0.7" top="0.78740157499999996" bottom="0.78740157499999996" header="0.3" footer="0.3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E30C-970F-4238-8333-1B76D6BD637A}">
  <dimension ref="A1:E9"/>
  <sheetViews>
    <sheetView workbookViewId="0">
      <selection activeCell="E11" sqref="E11"/>
    </sheetView>
  </sheetViews>
  <sheetFormatPr baseColWidth="10" defaultRowHeight="14.5" x14ac:dyDescent="0.35"/>
  <cols>
    <col min="1" max="4" width="12.7265625" customWidth="1"/>
    <col min="5" max="5" width="12.453125" bestFit="1" customWidth="1"/>
  </cols>
  <sheetData>
    <row r="1" spans="1:5" x14ac:dyDescent="0.35">
      <c r="A1" s="2" t="s">
        <v>23</v>
      </c>
      <c r="B1" s="5" t="s">
        <v>20</v>
      </c>
      <c r="C1" s="2" t="s">
        <v>21</v>
      </c>
      <c r="D1" s="2" t="s">
        <v>22</v>
      </c>
      <c r="E1" s="5" t="s">
        <v>47</v>
      </c>
    </row>
    <row r="2" spans="1:5" x14ac:dyDescent="0.35">
      <c r="A2" s="2" t="s">
        <v>10</v>
      </c>
      <c r="B2" s="10">
        <v>7.0000000000000007E-2</v>
      </c>
      <c r="C2" s="10">
        <v>0.02</v>
      </c>
      <c r="D2" s="10">
        <v>0.01</v>
      </c>
      <c r="E2" s="6">
        <f>1-B2-C2-D2</f>
        <v>0.89999999999999991</v>
      </c>
    </row>
    <row r="3" spans="1:5" x14ac:dyDescent="0.35">
      <c r="A3" s="2" t="s">
        <v>11</v>
      </c>
      <c r="B3" s="10">
        <v>0.09</v>
      </c>
      <c r="C3" s="10">
        <v>0.06</v>
      </c>
      <c r="D3" s="10">
        <v>0.05</v>
      </c>
      <c r="E3" s="6">
        <f t="shared" ref="E3:E4" si="0">1-B3-C3-D3</f>
        <v>0.8</v>
      </c>
    </row>
    <row r="4" spans="1:5" x14ac:dyDescent="0.35">
      <c r="A4" s="2" t="s">
        <v>12</v>
      </c>
      <c r="B4" s="10">
        <v>0.08</v>
      </c>
      <c r="C4" s="10">
        <v>0.03</v>
      </c>
      <c r="D4" s="10">
        <v>0.02</v>
      </c>
      <c r="E4" s="6">
        <f t="shared" si="0"/>
        <v>0.87</v>
      </c>
    </row>
    <row r="5" spans="1:5" x14ac:dyDescent="0.35">
      <c r="B5" s="11"/>
      <c r="C5" s="11"/>
      <c r="D5" s="11"/>
    </row>
    <row r="7" spans="1:5" x14ac:dyDescent="0.35">
      <c r="B7" s="14"/>
      <c r="C7" s="14"/>
      <c r="D7" s="14"/>
      <c r="E7" s="14"/>
    </row>
    <row r="8" spans="1:5" x14ac:dyDescent="0.35">
      <c r="B8" s="14"/>
      <c r="C8" s="14"/>
      <c r="D8" s="14"/>
      <c r="E8" s="14"/>
    </row>
    <row r="9" spans="1:5" x14ac:dyDescent="0.35">
      <c r="B9" s="14"/>
      <c r="C9" s="14"/>
      <c r="D9" s="14"/>
      <c r="E9" s="14"/>
    </row>
  </sheetData>
  <pageMargins left="0.7" right="0.7" top="0.78740157499999996" bottom="0.78740157499999996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81D8-1D69-48E2-BC34-39BBD308C270}">
  <dimension ref="A1:N8"/>
  <sheetViews>
    <sheetView workbookViewId="0">
      <selection activeCell="G25" sqref="G25"/>
    </sheetView>
  </sheetViews>
  <sheetFormatPr baseColWidth="10" defaultRowHeight="14.5" x14ac:dyDescent="0.35"/>
  <cols>
    <col min="1" max="1" width="23.54296875" bestFit="1" customWidth="1"/>
    <col min="3" max="3" width="8.7265625" customWidth="1"/>
    <col min="4" max="4" width="6.54296875" customWidth="1"/>
    <col min="5" max="5" width="7.26953125" customWidth="1"/>
    <col min="6" max="12" width="6.7265625" customWidth="1"/>
  </cols>
  <sheetData>
    <row r="1" spans="1:14" x14ac:dyDescent="0.35">
      <c r="A1" s="2" t="s">
        <v>27</v>
      </c>
      <c r="C1" s="18" t="s">
        <v>29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</row>
    <row r="2" spans="1:14" x14ac:dyDescent="0.35">
      <c r="A2" s="3"/>
      <c r="C2" s="2"/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17" t="s">
        <v>41</v>
      </c>
      <c r="N2" s="17"/>
    </row>
    <row r="3" spans="1:14" x14ac:dyDescent="0.35">
      <c r="A3" s="3" t="s">
        <v>28</v>
      </c>
      <c r="C3" s="2" t="s">
        <v>30</v>
      </c>
      <c r="D3" s="13">
        <v>0.25</v>
      </c>
      <c r="E3" s="13">
        <v>0.58333333333333337</v>
      </c>
      <c r="F3" s="3" t="s">
        <v>42</v>
      </c>
      <c r="G3" s="3" t="s">
        <v>42</v>
      </c>
      <c r="H3" s="3" t="s">
        <v>42</v>
      </c>
      <c r="I3" s="3" t="s">
        <v>42</v>
      </c>
      <c r="J3" s="3" t="s">
        <v>42</v>
      </c>
      <c r="K3" s="3"/>
      <c r="L3" s="3"/>
      <c r="M3" s="3" t="s">
        <v>43</v>
      </c>
      <c r="N3" s="3" t="s">
        <v>44</v>
      </c>
    </row>
    <row r="4" spans="1:14" x14ac:dyDescent="0.35">
      <c r="A4" s="3" t="s">
        <v>59</v>
      </c>
      <c r="C4" s="2" t="s">
        <v>31</v>
      </c>
      <c r="D4" s="13">
        <v>0.59027777777777779</v>
      </c>
      <c r="E4" s="13">
        <v>0.92361111111111116</v>
      </c>
      <c r="F4" s="3" t="s">
        <v>42</v>
      </c>
      <c r="G4" s="3" t="s">
        <v>42</v>
      </c>
      <c r="H4" s="3" t="s">
        <v>42</v>
      </c>
      <c r="I4" s="3" t="s">
        <v>42</v>
      </c>
      <c r="J4" s="3" t="s">
        <v>42</v>
      </c>
      <c r="K4" s="3"/>
      <c r="L4" s="3"/>
      <c r="M4" s="3" t="s">
        <v>45</v>
      </c>
      <c r="N4" s="3" t="s">
        <v>46</v>
      </c>
    </row>
    <row r="5" spans="1:14" x14ac:dyDescent="0.35">
      <c r="A5" s="3" t="s">
        <v>26</v>
      </c>
    </row>
    <row r="6" spans="1:14" x14ac:dyDescent="0.35">
      <c r="A6" s="3" t="s">
        <v>20</v>
      </c>
    </row>
    <row r="7" spans="1:14" x14ac:dyDescent="0.35">
      <c r="A7" s="3" t="s">
        <v>21</v>
      </c>
    </row>
    <row r="8" spans="1:14" x14ac:dyDescent="0.35">
      <c r="A8" s="3" t="s">
        <v>22</v>
      </c>
    </row>
  </sheetData>
  <mergeCells count="2">
    <mergeCell ref="M2:N2"/>
    <mergeCell ref="C1:N1"/>
  </mergeCells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Simulation Target</vt:lpstr>
      <vt:lpstr>ProductionProgram</vt:lpstr>
      <vt:lpstr>Technical Data Stations</vt:lpstr>
      <vt:lpstr>Technical Data Buffer</vt:lpstr>
      <vt:lpstr>Rework</vt:lpstr>
      <vt:lpstr>ShiftModel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Ulrich Burges</dc:creator>
  <cp:lastModifiedBy>Adaev, Katharina, Prof. Dr.-Ing.</cp:lastModifiedBy>
  <cp:lastPrinted>2019-10-31T12:45:03Z</cp:lastPrinted>
  <dcterms:created xsi:type="dcterms:W3CDTF">2019-10-31T07:05:49Z</dcterms:created>
  <dcterms:modified xsi:type="dcterms:W3CDTF">2026-05-17T13:53:24Z</dcterms:modified>
</cp:coreProperties>
</file>